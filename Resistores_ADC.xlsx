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TECLADO_ADC\"/>
    </mc:Choice>
  </mc:AlternateContent>
  <xr:revisionPtr revIDLastSave="0" documentId="8_{B7A3166C-C9D3-431C-9CA6-BB38F16596D1}" xr6:coauthVersionLast="47" xr6:coauthVersionMax="47" xr10:uidLastSave="{00000000-0000-0000-0000-000000000000}"/>
  <bookViews>
    <workbookView xWindow="-120" yWindow="-120" windowWidth="29040" windowHeight="16440" xr2:uid="{E28FCF97-0FB4-49F5-A73C-8666E356AE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N7" i="1" s="1"/>
  <c r="N8" i="1" s="1"/>
  <c r="N9" i="1" s="1"/>
  <c r="N10" i="1" s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P35" i="1"/>
  <c r="Q35" i="1" s="1"/>
  <c r="O6" i="1"/>
  <c r="O5" i="1"/>
  <c r="P5" i="1" s="1"/>
  <c r="Q5" i="1" s="1"/>
  <c r="R5" i="1" s="1"/>
  <c r="S5" i="1" s="1"/>
  <c r="T5" i="1" s="1"/>
  <c r="P6" i="1" l="1"/>
  <c r="Q6" i="1" s="1"/>
  <c r="R6" i="1" s="1"/>
  <c r="S6" i="1" s="1"/>
  <c r="T6" i="1" s="1"/>
  <c r="N11" i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P10" i="1"/>
  <c r="Q10" i="1" s="1"/>
  <c r="R10" i="1" s="1"/>
  <c r="S10" i="1" s="1"/>
  <c r="P8" i="1"/>
  <c r="Q8" i="1" s="1"/>
  <c r="R8" i="1" s="1"/>
  <c r="S8" i="1" s="1"/>
  <c r="P9" i="1"/>
  <c r="Q9" i="1" s="1"/>
  <c r="R9" i="1" s="1"/>
  <c r="S9" i="1" s="1"/>
  <c r="P7" i="1"/>
  <c r="Q7" i="1" s="1"/>
  <c r="R7" i="1" s="1"/>
  <c r="S7" i="1" s="1"/>
  <c r="T10" i="1" l="1"/>
  <c r="T9" i="1"/>
  <c r="T8" i="1"/>
  <c r="P12" i="1"/>
  <c r="Q12" i="1" s="1"/>
  <c r="R12" i="1" s="1"/>
  <c r="S12" i="1" s="1"/>
  <c r="P11" i="1"/>
  <c r="Q11" i="1" s="1"/>
  <c r="R11" i="1" s="1"/>
  <c r="S11" i="1" s="1"/>
  <c r="T11" i="1" s="1"/>
  <c r="T7" i="1"/>
  <c r="P14" i="1" l="1"/>
  <c r="Q14" i="1" s="1"/>
  <c r="R14" i="1" s="1"/>
  <c r="S14" i="1" s="1"/>
  <c r="P13" i="1"/>
  <c r="Q13" i="1" s="1"/>
  <c r="R13" i="1" s="1"/>
  <c r="S13" i="1" s="1"/>
  <c r="T13" i="1" s="1"/>
  <c r="T12" i="1"/>
  <c r="T14" i="1" l="1"/>
  <c r="P16" i="1"/>
  <c r="Q16" i="1" s="1"/>
  <c r="R16" i="1" s="1"/>
  <c r="S16" i="1" s="1"/>
  <c r="P15" i="1"/>
  <c r="Q15" i="1" s="1"/>
  <c r="R15" i="1" s="1"/>
  <c r="S15" i="1" s="1"/>
  <c r="T15" i="1" s="1"/>
  <c r="T16" i="1" l="1"/>
  <c r="P18" i="1"/>
  <c r="Q18" i="1" s="1"/>
  <c r="R18" i="1" s="1"/>
  <c r="S18" i="1" s="1"/>
  <c r="P17" i="1"/>
  <c r="Q17" i="1" s="1"/>
  <c r="R17" i="1" s="1"/>
  <c r="S17" i="1" s="1"/>
  <c r="T17" i="1" s="1"/>
  <c r="T18" i="1" l="1"/>
  <c r="P20" i="1"/>
  <c r="Q20" i="1" s="1"/>
  <c r="R20" i="1" s="1"/>
  <c r="S20" i="1" s="1"/>
  <c r="P19" i="1"/>
  <c r="Q19" i="1" s="1"/>
  <c r="R19" i="1" s="1"/>
  <c r="S19" i="1" s="1"/>
  <c r="T19" i="1" s="1"/>
  <c r="T20" i="1" l="1"/>
  <c r="P22" i="1"/>
  <c r="Q22" i="1" s="1"/>
  <c r="R22" i="1" s="1"/>
  <c r="S22" i="1" s="1"/>
  <c r="P21" i="1"/>
  <c r="Q21" i="1" s="1"/>
  <c r="R21" i="1" s="1"/>
  <c r="S21" i="1" s="1"/>
  <c r="T21" i="1" s="1"/>
  <c r="T22" i="1" l="1"/>
  <c r="P24" i="1"/>
  <c r="Q24" i="1" s="1"/>
  <c r="R24" i="1" s="1"/>
  <c r="S24" i="1" s="1"/>
  <c r="P23" i="1"/>
  <c r="Q23" i="1" s="1"/>
  <c r="R23" i="1" s="1"/>
  <c r="S23" i="1" s="1"/>
  <c r="T23" i="1" s="1"/>
  <c r="T24" i="1" l="1"/>
  <c r="P26" i="1"/>
  <c r="Q26" i="1" s="1"/>
  <c r="R26" i="1" s="1"/>
  <c r="S26" i="1" s="1"/>
  <c r="P25" i="1"/>
  <c r="Q25" i="1" s="1"/>
  <c r="R25" i="1" s="1"/>
  <c r="S25" i="1" s="1"/>
  <c r="T25" i="1" s="1"/>
  <c r="T26" i="1" l="1"/>
  <c r="P28" i="1"/>
  <c r="Q28" i="1" s="1"/>
  <c r="R28" i="1" s="1"/>
  <c r="S28" i="1" s="1"/>
  <c r="P27" i="1"/>
  <c r="Q27" i="1" s="1"/>
  <c r="R27" i="1" s="1"/>
  <c r="S27" i="1" s="1"/>
  <c r="T27" i="1" s="1"/>
  <c r="T28" i="1" l="1"/>
  <c r="P30" i="1"/>
  <c r="Q30" i="1" s="1"/>
  <c r="R30" i="1" s="1"/>
  <c r="S30" i="1" s="1"/>
  <c r="P29" i="1"/>
  <c r="Q29" i="1" s="1"/>
  <c r="R29" i="1" s="1"/>
  <c r="S29" i="1" s="1"/>
  <c r="T29" i="1" s="1"/>
  <c r="T30" i="1" l="1"/>
  <c r="P32" i="1"/>
  <c r="Q32" i="1" s="1"/>
  <c r="R32" i="1" s="1"/>
  <c r="S32" i="1" s="1"/>
  <c r="P31" i="1"/>
  <c r="Q31" i="1" s="1"/>
  <c r="R31" i="1" s="1"/>
  <c r="S31" i="1" s="1"/>
  <c r="T31" i="1" s="1"/>
  <c r="P34" i="1" l="1"/>
  <c r="Q34" i="1" s="1"/>
  <c r="R34" i="1" s="1"/>
  <c r="S34" i="1" s="1"/>
  <c r="P33" i="1"/>
  <c r="Q33" i="1" s="1"/>
  <c r="R33" i="1" s="1"/>
  <c r="S33" i="1" s="1"/>
  <c r="T33" i="1" s="1"/>
  <c r="T32" i="1"/>
  <c r="T34" i="1" l="1"/>
</calcChain>
</file>

<file path=xl/sharedStrings.xml><?xml version="1.0" encoding="utf-8"?>
<sst xmlns="http://schemas.openxmlformats.org/spreadsheetml/2006/main" count="5" uniqueCount="5">
  <si>
    <t>Vin</t>
  </si>
  <si>
    <t>R_botão</t>
  </si>
  <si>
    <t>R_fixo</t>
  </si>
  <si>
    <t>Delta</t>
  </si>
  <si>
    <t>ADC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</si>
</sst>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1888-56CB-4E20-BA2D-270D38CE524F}">
  <dimension ref="F4:T35"/>
  <sheetViews>
    <sheetView tabSelected="1" topLeftCell="B1" workbookViewId="0">
      <selection activeCell="D11" sqref="D11"/>
    </sheetView>
  </sheetViews>
  <sheetFormatPr defaultRowHeight="15" x14ac:dyDescent="0.25"/>
  <cols>
    <col min="1" max="1" width="9.140625" style="1"/>
    <col min="2" max="2" width="6.28515625" style="1" customWidth="1"/>
    <col min="3" max="3" width="9.140625" style="1"/>
    <col min="4" max="4" width="9.140625" style="1" customWidth="1"/>
    <col min="5" max="5" width="0.140625" style="1" customWidth="1"/>
    <col min="6" max="6" width="9.140625" style="1" hidden="1" customWidth="1"/>
    <col min="7" max="7" width="24.85546875" style="1" hidden="1" customWidth="1"/>
    <col min="8" max="8" width="0.140625" style="1" customWidth="1"/>
    <col min="9" max="16384" width="9.140625" style="1"/>
  </cols>
  <sheetData>
    <row r="4" spans="12:20" x14ac:dyDescent="0.25">
      <c r="L4" s="2" t="s">
        <v>0</v>
      </c>
      <c r="M4" s="2" t="s">
        <v>1</v>
      </c>
      <c r="N4" s="2" t="s">
        <v>2</v>
      </c>
      <c r="O4" s="2"/>
      <c r="P4" s="2"/>
      <c r="Q4" s="2"/>
      <c r="R4" s="2"/>
      <c r="S4" s="2" t="s">
        <v>4</v>
      </c>
      <c r="T4" s="2" t="s">
        <v>3</v>
      </c>
    </row>
    <row r="5" spans="12:20" x14ac:dyDescent="0.25">
      <c r="L5" s="2">
        <v>3.3</v>
      </c>
      <c r="M5" s="2">
        <v>10</v>
      </c>
      <c r="N5" s="2">
        <v>2200</v>
      </c>
      <c r="O5" s="2">
        <f t="shared" ref="O5:O34" si="0">M5</f>
        <v>10</v>
      </c>
      <c r="P5" s="2">
        <f t="shared" ref="P5:P34" si="1">SUM(O5+N5)</f>
        <v>2210</v>
      </c>
      <c r="Q5" s="2">
        <f t="shared" ref="Q5:Q34" si="2">M5/P5</f>
        <v>4.5248868778280547E-3</v>
      </c>
      <c r="R5" s="2">
        <f t="shared" ref="R5:R34" si="3">L5*Q5</f>
        <v>1.493212669683258E-2</v>
      </c>
      <c r="S5" s="2">
        <f t="shared" ref="S5:S34" si="4">1023/L5*R5</f>
        <v>4.6289592760181</v>
      </c>
      <c r="T5" s="2">
        <f>S5-S1</f>
        <v>4.6289592760181</v>
      </c>
    </row>
    <row r="6" spans="12:20" x14ac:dyDescent="0.25">
      <c r="L6" s="2">
        <v>3.3</v>
      </c>
      <c r="M6" s="2">
        <v>22</v>
      </c>
      <c r="N6" s="2">
        <f>N5</f>
        <v>2200</v>
      </c>
      <c r="O6" s="2">
        <f t="shared" si="0"/>
        <v>22</v>
      </c>
      <c r="P6" s="2">
        <f t="shared" si="1"/>
        <v>2222</v>
      </c>
      <c r="Q6" s="2">
        <f t="shared" si="2"/>
        <v>9.9009900990099011E-3</v>
      </c>
      <c r="R6" s="2">
        <f t="shared" si="3"/>
        <v>3.2673267326732675E-2</v>
      </c>
      <c r="S6" s="2">
        <f t="shared" si="4"/>
        <v>10.12871287128713</v>
      </c>
      <c r="T6" s="2">
        <f t="shared" ref="T6:T34" si="5">S6-S5</f>
        <v>5.4997535952690297</v>
      </c>
    </row>
    <row r="7" spans="12:20" x14ac:dyDescent="0.25">
      <c r="L7" s="2">
        <v>3.3</v>
      </c>
      <c r="M7" s="2">
        <v>47</v>
      </c>
      <c r="N7" s="2">
        <f t="shared" ref="N7:N34" si="6">N6</f>
        <v>2200</v>
      </c>
      <c r="O7" s="2">
        <f t="shared" si="0"/>
        <v>47</v>
      </c>
      <c r="P7" s="2">
        <f t="shared" si="1"/>
        <v>2247</v>
      </c>
      <c r="Q7" s="2">
        <f t="shared" si="2"/>
        <v>2.091677792612372E-2</v>
      </c>
      <c r="R7" s="2">
        <f t="shared" si="3"/>
        <v>6.9025367156208273E-2</v>
      </c>
      <c r="S7" s="2">
        <f t="shared" si="4"/>
        <v>21.397863818424565</v>
      </c>
      <c r="T7" s="2">
        <f t="shared" si="5"/>
        <v>11.269150947137435</v>
      </c>
    </row>
    <row r="8" spans="12:20" x14ac:dyDescent="0.25">
      <c r="L8" s="2">
        <v>3.3</v>
      </c>
      <c r="M8" s="2">
        <v>100</v>
      </c>
      <c r="N8" s="2">
        <f t="shared" si="6"/>
        <v>2200</v>
      </c>
      <c r="O8" s="2">
        <f t="shared" si="0"/>
        <v>100</v>
      </c>
      <c r="P8" s="2">
        <f t="shared" si="1"/>
        <v>2300</v>
      </c>
      <c r="Q8" s="2">
        <f t="shared" si="2"/>
        <v>4.3478260869565216E-2</v>
      </c>
      <c r="R8" s="2">
        <f t="shared" si="3"/>
        <v>0.14347826086956519</v>
      </c>
      <c r="S8" s="2">
        <f t="shared" si="4"/>
        <v>44.478260869565212</v>
      </c>
      <c r="T8" s="2">
        <f t="shared" si="5"/>
        <v>23.080397051140647</v>
      </c>
    </row>
    <row r="9" spans="12:20" x14ac:dyDescent="0.25">
      <c r="L9" s="2">
        <v>3.3</v>
      </c>
      <c r="M9" s="2">
        <v>150</v>
      </c>
      <c r="N9" s="2">
        <f t="shared" si="6"/>
        <v>2200</v>
      </c>
      <c r="O9" s="2">
        <f t="shared" si="0"/>
        <v>150</v>
      </c>
      <c r="P9" s="2">
        <f t="shared" si="1"/>
        <v>2350</v>
      </c>
      <c r="Q9" s="2">
        <f t="shared" si="2"/>
        <v>6.3829787234042548E-2</v>
      </c>
      <c r="R9" s="2">
        <f t="shared" si="3"/>
        <v>0.2106382978723404</v>
      </c>
      <c r="S9" s="2">
        <f t="shared" si="4"/>
        <v>65.297872340425528</v>
      </c>
      <c r="T9" s="2">
        <f t="shared" si="5"/>
        <v>20.819611470860316</v>
      </c>
    </row>
    <row r="10" spans="12:20" x14ac:dyDescent="0.25">
      <c r="L10" s="2">
        <v>3.3</v>
      </c>
      <c r="M10" s="2">
        <v>200</v>
      </c>
      <c r="N10" s="2">
        <f t="shared" si="6"/>
        <v>2200</v>
      </c>
      <c r="O10" s="2">
        <f t="shared" si="0"/>
        <v>200</v>
      </c>
      <c r="P10" s="2">
        <f t="shared" si="1"/>
        <v>2400</v>
      </c>
      <c r="Q10" s="2">
        <f t="shared" si="2"/>
        <v>8.3333333333333329E-2</v>
      </c>
      <c r="R10" s="2">
        <f t="shared" si="3"/>
        <v>0.27499999999999997</v>
      </c>
      <c r="S10" s="2">
        <f t="shared" si="4"/>
        <v>85.249999999999986</v>
      </c>
      <c r="T10" s="2">
        <f t="shared" si="5"/>
        <v>19.952127659574458</v>
      </c>
    </row>
    <row r="11" spans="12:20" x14ac:dyDescent="0.25">
      <c r="L11" s="2">
        <v>3.3</v>
      </c>
      <c r="M11" s="2">
        <v>220</v>
      </c>
      <c r="N11" s="2">
        <f t="shared" si="6"/>
        <v>2200</v>
      </c>
      <c r="O11" s="2">
        <f t="shared" si="0"/>
        <v>220</v>
      </c>
      <c r="P11" s="2">
        <f t="shared" si="1"/>
        <v>2420</v>
      </c>
      <c r="Q11" s="2">
        <f t="shared" si="2"/>
        <v>9.0909090909090912E-2</v>
      </c>
      <c r="R11" s="2">
        <f t="shared" si="3"/>
        <v>0.3</v>
      </c>
      <c r="S11" s="2">
        <f t="shared" si="4"/>
        <v>93</v>
      </c>
      <c r="T11" s="2">
        <f t="shared" si="5"/>
        <v>7.7500000000000142</v>
      </c>
    </row>
    <row r="12" spans="12:20" x14ac:dyDescent="0.25">
      <c r="L12" s="2">
        <v>3.3</v>
      </c>
      <c r="M12" s="2">
        <v>270</v>
      </c>
      <c r="N12" s="2">
        <f t="shared" si="6"/>
        <v>2200</v>
      </c>
      <c r="O12" s="2">
        <f t="shared" si="0"/>
        <v>270</v>
      </c>
      <c r="P12" s="2">
        <f t="shared" si="1"/>
        <v>2470</v>
      </c>
      <c r="Q12" s="2">
        <f t="shared" si="2"/>
        <v>0.10931174089068826</v>
      </c>
      <c r="R12" s="2">
        <f t="shared" si="3"/>
        <v>0.36072874493927126</v>
      </c>
      <c r="S12" s="2">
        <f t="shared" si="4"/>
        <v>111.82591093117409</v>
      </c>
      <c r="T12" s="2">
        <f t="shared" si="5"/>
        <v>18.825910931174093</v>
      </c>
    </row>
    <row r="13" spans="12:20" x14ac:dyDescent="0.25">
      <c r="L13" s="2">
        <v>3.3</v>
      </c>
      <c r="M13" s="2">
        <v>330</v>
      </c>
      <c r="N13" s="2">
        <f t="shared" si="6"/>
        <v>2200</v>
      </c>
      <c r="O13" s="2">
        <f t="shared" si="0"/>
        <v>330</v>
      </c>
      <c r="P13" s="2">
        <f t="shared" si="1"/>
        <v>2530</v>
      </c>
      <c r="Q13" s="2">
        <f t="shared" si="2"/>
        <v>0.13043478260869565</v>
      </c>
      <c r="R13" s="2">
        <f t="shared" si="3"/>
        <v>0.43043478260869561</v>
      </c>
      <c r="S13" s="2">
        <f t="shared" si="4"/>
        <v>133.43478260869563</v>
      </c>
      <c r="T13" s="2">
        <f t="shared" si="5"/>
        <v>21.608871677521535</v>
      </c>
    </row>
    <row r="14" spans="12:20" x14ac:dyDescent="0.25">
      <c r="L14" s="2">
        <v>3.3</v>
      </c>
      <c r="M14" s="2">
        <v>470</v>
      </c>
      <c r="N14" s="2">
        <f t="shared" si="6"/>
        <v>2200</v>
      </c>
      <c r="O14" s="2">
        <f t="shared" si="0"/>
        <v>470</v>
      </c>
      <c r="P14" s="2">
        <f t="shared" si="1"/>
        <v>2670</v>
      </c>
      <c r="Q14" s="2">
        <f t="shared" si="2"/>
        <v>0.17602996254681649</v>
      </c>
      <c r="R14" s="2">
        <f t="shared" si="3"/>
        <v>0.58089887640449445</v>
      </c>
      <c r="S14" s="2">
        <f t="shared" si="4"/>
        <v>180.07865168539328</v>
      </c>
      <c r="T14" s="2">
        <f t="shared" si="5"/>
        <v>46.643869076697655</v>
      </c>
    </row>
    <row r="15" spans="12:20" x14ac:dyDescent="0.25">
      <c r="L15" s="2">
        <v>3.3</v>
      </c>
      <c r="M15" s="2">
        <v>510</v>
      </c>
      <c r="N15" s="2">
        <f t="shared" si="6"/>
        <v>2200</v>
      </c>
      <c r="O15" s="2">
        <f t="shared" si="0"/>
        <v>510</v>
      </c>
      <c r="P15" s="2">
        <f t="shared" si="1"/>
        <v>2710</v>
      </c>
      <c r="Q15" s="2">
        <f t="shared" si="2"/>
        <v>0.18819188191881919</v>
      </c>
      <c r="R15" s="2">
        <f t="shared" si="3"/>
        <v>0.62103321033210335</v>
      </c>
      <c r="S15" s="2">
        <f t="shared" si="4"/>
        <v>192.52029520295204</v>
      </c>
      <c r="T15" s="2">
        <f t="shared" si="5"/>
        <v>12.441643517558759</v>
      </c>
    </row>
    <row r="16" spans="12:20" x14ac:dyDescent="0.25">
      <c r="L16" s="2">
        <v>3.3</v>
      </c>
      <c r="M16" s="2">
        <v>680</v>
      </c>
      <c r="N16" s="2">
        <f t="shared" si="6"/>
        <v>2200</v>
      </c>
      <c r="O16" s="2">
        <f t="shared" si="0"/>
        <v>680</v>
      </c>
      <c r="P16" s="2">
        <f t="shared" si="1"/>
        <v>2880</v>
      </c>
      <c r="Q16" s="2">
        <f t="shared" si="2"/>
        <v>0.2361111111111111</v>
      </c>
      <c r="R16" s="2">
        <f t="shared" si="3"/>
        <v>0.77916666666666656</v>
      </c>
      <c r="S16" s="2">
        <f t="shared" si="4"/>
        <v>241.54166666666663</v>
      </c>
      <c r="T16" s="2">
        <f t="shared" si="5"/>
        <v>49.021371463714587</v>
      </c>
    </row>
    <row r="17" spans="12:20" x14ac:dyDescent="0.25">
      <c r="L17" s="2">
        <v>3.3</v>
      </c>
      <c r="M17" s="2">
        <v>1000</v>
      </c>
      <c r="N17" s="2">
        <f t="shared" si="6"/>
        <v>2200</v>
      </c>
      <c r="O17" s="2">
        <f t="shared" si="0"/>
        <v>1000</v>
      </c>
      <c r="P17" s="2">
        <f t="shared" si="1"/>
        <v>3200</v>
      </c>
      <c r="Q17" s="2">
        <f t="shared" si="2"/>
        <v>0.3125</v>
      </c>
      <c r="R17" s="2">
        <f t="shared" si="3"/>
        <v>1.03125</v>
      </c>
      <c r="S17" s="2">
        <f t="shared" si="4"/>
        <v>319.6875</v>
      </c>
      <c r="T17" s="2">
        <f t="shared" si="5"/>
        <v>78.145833333333371</v>
      </c>
    </row>
    <row r="18" spans="12:20" x14ac:dyDescent="0.25">
      <c r="L18" s="2">
        <v>3.3</v>
      </c>
      <c r="M18" s="2">
        <v>2000</v>
      </c>
      <c r="N18" s="2">
        <f t="shared" si="6"/>
        <v>2200</v>
      </c>
      <c r="O18" s="2">
        <f t="shared" si="0"/>
        <v>2000</v>
      </c>
      <c r="P18" s="2">
        <f t="shared" si="1"/>
        <v>4200</v>
      </c>
      <c r="Q18" s="2">
        <f t="shared" si="2"/>
        <v>0.47619047619047616</v>
      </c>
      <c r="R18" s="2">
        <f t="shared" si="3"/>
        <v>1.5714285714285712</v>
      </c>
      <c r="S18" s="2">
        <f t="shared" si="4"/>
        <v>487.14285714285705</v>
      </c>
      <c r="T18" s="2">
        <f t="shared" si="5"/>
        <v>167.45535714285705</v>
      </c>
    </row>
    <row r="19" spans="12:20" x14ac:dyDescent="0.25">
      <c r="L19" s="2">
        <v>3.3</v>
      </c>
      <c r="M19" s="2">
        <v>2200</v>
      </c>
      <c r="N19" s="2">
        <f t="shared" si="6"/>
        <v>2200</v>
      </c>
      <c r="O19" s="2">
        <f t="shared" si="0"/>
        <v>2200</v>
      </c>
      <c r="P19" s="2">
        <f t="shared" si="1"/>
        <v>4400</v>
      </c>
      <c r="Q19" s="2">
        <f t="shared" si="2"/>
        <v>0.5</v>
      </c>
      <c r="R19" s="2">
        <f t="shared" si="3"/>
        <v>1.65</v>
      </c>
      <c r="S19" s="2">
        <f t="shared" si="4"/>
        <v>511.5</v>
      </c>
      <c r="T19" s="2">
        <f t="shared" si="5"/>
        <v>24.357142857142946</v>
      </c>
    </row>
    <row r="20" spans="12:20" x14ac:dyDescent="0.25">
      <c r="L20" s="2">
        <v>3.3</v>
      </c>
      <c r="M20" s="2">
        <v>3300</v>
      </c>
      <c r="N20" s="2">
        <f t="shared" si="6"/>
        <v>2200</v>
      </c>
      <c r="O20" s="2">
        <f t="shared" si="0"/>
        <v>3300</v>
      </c>
      <c r="P20" s="2">
        <f t="shared" si="1"/>
        <v>5500</v>
      </c>
      <c r="Q20" s="2">
        <f t="shared" si="2"/>
        <v>0.6</v>
      </c>
      <c r="R20" s="2">
        <f t="shared" si="3"/>
        <v>1.9799999999999998</v>
      </c>
      <c r="S20" s="2">
        <f t="shared" si="4"/>
        <v>613.79999999999995</v>
      </c>
      <c r="T20" s="2">
        <f t="shared" si="5"/>
        <v>102.29999999999995</v>
      </c>
    </row>
    <row r="21" spans="12:20" x14ac:dyDescent="0.25">
      <c r="L21" s="2">
        <v>3.3</v>
      </c>
      <c r="M21" s="2">
        <v>4700</v>
      </c>
      <c r="N21" s="2">
        <f t="shared" si="6"/>
        <v>2200</v>
      </c>
      <c r="O21" s="2">
        <f t="shared" si="0"/>
        <v>4700</v>
      </c>
      <c r="P21" s="2">
        <f t="shared" si="1"/>
        <v>6900</v>
      </c>
      <c r="Q21" s="2">
        <f t="shared" si="2"/>
        <v>0.6811594202898551</v>
      </c>
      <c r="R21" s="2">
        <f t="shared" si="3"/>
        <v>2.2478260869565219</v>
      </c>
      <c r="S21" s="2">
        <f t="shared" si="4"/>
        <v>696.82608695652175</v>
      </c>
      <c r="T21" s="2">
        <f t="shared" si="5"/>
        <v>83.026086956521794</v>
      </c>
    </row>
    <row r="22" spans="12:20" x14ac:dyDescent="0.25">
      <c r="L22" s="2">
        <v>3.3</v>
      </c>
      <c r="M22" s="2">
        <v>5100</v>
      </c>
      <c r="N22" s="2">
        <f t="shared" si="6"/>
        <v>2200</v>
      </c>
      <c r="O22" s="2">
        <f t="shared" si="0"/>
        <v>5100</v>
      </c>
      <c r="P22" s="2">
        <f t="shared" si="1"/>
        <v>7300</v>
      </c>
      <c r="Q22" s="2">
        <f t="shared" si="2"/>
        <v>0.69863013698630139</v>
      </c>
      <c r="R22" s="2">
        <f t="shared" si="3"/>
        <v>2.3054794520547945</v>
      </c>
      <c r="S22" s="2">
        <f t="shared" si="4"/>
        <v>714.69863013698625</v>
      </c>
      <c r="T22" s="2">
        <f t="shared" si="5"/>
        <v>17.872543180464504</v>
      </c>
    </row>
    <row r="23" spans="12:20" x14ac:dyDescent="0.25">
      <c r="L23" s="2">
        <v>3.3</v>
      </c>
      <c r="M23" s="2">
        <v>6800</v>
      </c>
      <c r="N23" s="2">
        <f t="shared" si="6"/>
        <v>2200</v>
      </c>
      <c r="O23" s="2">
        <f t="shared" si="0"/>
        <v>6800</v>
      </c>
      <c r="P23" s="2">
        <f t="shared" si="1"/>
        <v>9000</v>
      </c>
      <c r="Q23" s="2">
        <f t="shared" si="2"/>
        <v>0.75555555555555554</v>
      </c>
      <c r="R23" s="2">
        <f t="shared" si="3"/>
        <v>2.4933333333333332</v>
      </c>
      <c r="S23" s="2">
        <f t="shared" si="4"/>
        <v>772.93333333333328</v>
      </c>
      <c r="T23" s="2">
        <f t="shared" si="5"/>
        <v>58.234703196347027</v>
      </c>
    </row>
    <row r="24" spans="12:20" x14ac:dyDescent="0.25">
      <c r="L24" s="2">
        <v>3.3</v>
      </c>
      <c r="M24" s="2">
        <v>10000</v>
      </c>
      <c r="N24" s="2">
        <f t="shared" si="6"/>
        <v>2200</v>
      </c>
      <c r="O24" s="2">
        <f t="shared" si="0"/>
        <v>10000</v>
      </c>
      <c r="P24" s="2">
        <f t="shared" si="1"/>
        <v>12200</v>
      </c>
      <c r="Q24" s="2">
        <f t="shared" si="2"/>
        <v>0.81967213114754101</v>
      </c>
      <c r="R24" s="2">
        <f t="shared" si="3"/>
        <v>2.7049180327868854</v>
      </c>
      <c r="S24" s="2">
        <f t="shared" si="4"/>
        <v>838.52459016393448</v>
      </c>
      <c r="T24" s="2">
        <f t="shared" si="5"/>
        <v>65.591256830601196</v>
      </c>
    </row>
    <row r="25" spans="12:20" x14ac:dyDescent="0.25">
      <c r="L25" s="2">
        <v>3.3</v>
      </c>
      <c r="M25" s="2">
        <v>20000</v>
      </c>
      <c r="N25" s="2">
        <f t="shared" si="6"/>
        <v>2200</v>
      </c>
      <c r="O25" s="2">
        <f t="shared" si="0"/>
        <v>20000</v>
      </c>
      <c r="P25" s="2">
        <f t="shared" si="1"/>
        <v>22200</v>
      </c>
      <c r="Q25" s="2">
        <f t="shared" si="2"/>
        <v>0.90090090090090091</v>
      </c>
      <c r="R25" s="2">
        <f t="shared" si="3"/>
        <v>2.9729729729729728</v>
      </c>
      <c r="S25" s="2">
        <f t="shared" si="4"/>
        <v>921.62162162162156</v>
      </c>
      <c r="T25" s="2">
        <f t="shared" si="5"/>
        <v>83.097031457687081</v>
      </c>
    </row>
    <row r="26" spans="12:20" x14ac:dyDescent="0.25">
      <c r="L26" s="2">
        <v>3.3</v>
      </c>
      <c r="M26" s="2">
        <v>47000</v>
      </c>
      <c r="N26" s="2">
        <f t="shared" si="6"/>
        <v>2200</v>
      </c>
      <c r="O26" s="2">
        <f t="shared" si="0"/>
        <v>47000</v>
      </c>
      <c r="P26" s="2">
        <f t="shared" si="1"/>
        <v>49200</v>
      </c>
      <c r="Q26" s="2">
        <f t="shared" si="2"/>
        <v>0.95528455284552849</v>
      </c>
      <c r="R26" s="2">
        <f t="shared" si="3"/>
        <v>3.1524390243902438</v>
      </c>
      <c r="S26" s="2">
        <f t="shared" si="4"/>
        <v>977.2560975609756</v>
      </c>
      <c r="T26" s="2">
        <f t="shared" si="5"/>
        <v>55.634475939354047</v>
      </c>
    </row>
    <row r="27" spans="12:20" x14ac:dyDescent="0.25">
      <c r="L27" s="2">
        <v>3.3</v>
      </c>
      <c r="M27" s="2">
        <v>51000</v>
      </c>
      <c r="N27" s="2">
        <f t="shared" si="6"/>
        <v>2200</v>
      </c>
      <c r="O27" s="2">
        <f t="shared" si="0"/>
        <v>51000</v>
      </c>
      <c r="P27" s="2">
        <f t="shared" si="1"/>
        <v>53200</v>
      </c>
      <c r="Q27" s="2">
        <f t="shared" si="2"/>
        <v>0.95864661654135341</v>
      </c>
      <c r="R27" s="2">
        <f t="shared" si="3"/>
        <v>3.1635338345864663</v>
      </c>
      <c r="S27" s="2">
        <f t="shared" si="4"/>
        <v>980.69548872180451</v>
      </c>
      <c r="T27" s="2">
        <f t="shared" si="5"/>
        <v>3.4393911608289045</v>
      </c>
    </row>
    <row r="28" spans="12:20" x14ac:dyDescent="0.25">
      <c r="L28" s="2">
        <v>3.3</v>
      </c>
      <c r="M28" s="2">
        <v>68000</v>
      </c>
      <c r="N28" s="2">
        <f t="shared" si="6"/>
        <v>2200</v>
      </c>
      <c r="O28" s="2">
        <f t="shared" si="0"/>
        <v>68000</v>
      </c>
      <c r="P28" s="2">
        <f t="shared" si="1"/>
        <v>70200</v>
      </c>
      <c r="Q28" s="2">
        <f t="shared" si="2"/>
        <v>0.96866096866096862</v>
      </c>
      <c r="R28" s="2">
        <f t="shared" si="3"/>
        <v>3.1965811965811963</v>
      </c>
      <c r="S28" s="2">
        <f t="shared" si="4"/>
        <v>990.9401709401709</v>
      </c>
      <c r="T28" s="2">
        <f t="shared" si="5"/>
        <v>10.244682218366393</v>
      </c>
    </row>
    <row r="29" spans="12:20" x14ac:dyDescent="0.25">
      <c r="L29" s="2">
        <v>3.3</v>
      </c>
      <c r="M29" s="2">
        <v>100000</v>
      </c>
      <c r="N29" s="2">
        <f t="shared" si="6"/>
        <v>2200</v>
      </c>
      <c r="O29" s="2">
        <f t="shared" si="0"/>
        <v>100000</v>
      </c>
      <c r="P29" s="2">
        <f t="shared" si="1"/>
        <v>102200</v>
      </c>
      <c r="Q29" s="2">
        <f t="shared" si="2"/>
        <v>0.97847358121330719</v>
      </c>
      <c r="R29" s="2">
        <f t="shared" si="3"/>
        <v>3.2289628180039136</v>
      </c>
      <c r="S29" s="2">
        <f t="shared" si="4"/>
        <v>1000.9784735812132</v>
      </c>
      <c r="T29" s="2">
        <f t="shared" si="5"/>
        <v>10.038302641042264</v>
      </c>
    </row>
    <row r="30" spans="12:20" x14ac:dyDescent="0.25">
      <c r="L30" s="2">
        <v>3.3</v>
      </c>
      <c r="M30" s="2">
        <v>220000</v>
      </c>
      <c r="N30" s="2">
        <f t="shared" si="6"/>
        <v>2200</v>
      </c>
      <c r="O30" s="2">
        <f t="shared" si="0"/>
        <v>220000</v>
      </c>
      <c r="P30" s="2">
        <f t="shared" si="1"/>
        <v>222200</v>
      </c>
      <c r="Q30" s="2">
        <f t="shared" si="2"/>
        <v>0.99009900990099009</v>
      </c>
      <c r="R30" s="2">
        <f t="shared" si="3"/>
        <v>3.2673267326732671</v>
      </c>
      <c r="S30" s="2">
        <f t="shared" si="4"/>
        <v>1012.8712871287128</v>
      </c>
      <c r="T30" s="2">
        <f t="shared" si="5"/>
        <v>11.8928135474996</v>
      </c>
    </row>
    <row r="31" spans="12:20" x14ac:dyDescent="0.25">
      <c r="L31" s="2">
        <v>3.3</v>
      </c>
      <c r="M31" s="2">
        <v>300000</v>
      </c>
      <c r="N31" s="2">
        <f t="shared" si="6"/>
        <v>2200</v>
      </c>
      <c r="O31" s="2">
        <f t="shared" si="0"/>
        <v>300000</v>
      </c>
      <c r="P31" s="2">
        <f t="shared" si="1"/>
        <v>302200</v>
      </c>
      <c r="Q31" s="2">
        <f t="shared" si="2"/>
        <v>0.99272005294506949</v>
      </c>
      <c r="R31" s="2">
        <f t="shared" si="3"/>
        <v>3.2759761747187293</v>
      </c>
      <c r="S31" s="2">
        <f t="shared" si="4"/>
        <v>1015.5526141628061</v>
      </c>
      <c r="T31" s="2">
        <f t="shared" si="5"/>
        <v>2.6813270340933286</v>
      </c>
    </row>
    <row r="32" spans="12:20" x14ac:dyDescent="0.25">
      <c r="L32" s="2">
        <v>3.3</v>
      </c>
      <c r="M32" s="2">
        <v>470000</v>
      </c>
      <c r="N32" s="2">
        <f t="shared" si="6"/>
        <v>2200</v>
      </c>
      <c r="O32" s="2">
        <f t="shared" si="0"/>
        <v>470000</v>
      </c>
      <c r="P32" s="2">
        <f t="shared" si="1"/>
        <v>472200</v>
      </c>
      <c r="Q32" s="2">
        <f t="shared" si="2"/>
        <v>0.99534095722151628</v>
      </c>
      <c r="R32" s="2">
        <f t="shared" si="3"/>
        <v>3.2846251588310036</v>
      </c>
      <c r="S32" s="2">
        <f t="shared" si="4"/>
        <v>1018.2337992376112</v>
      </c>
      <c r="T32" s="2">
        <f t="shared" si="5"/>
        <v>2.6811850748050574</v>
      </c>
    </row>
    <row r="33" spans="12:20" x14ac:dyDescent="0.25">
      <c r="L33" s="2">
        <v>3.3</v>
      </c>
      <c r="M33" s="2">
        <v>680000</v>
      </c>
      <c r="N33" s="2">
        <f t="shared" si="6"/>
        <v>2200</v>
      </c>
      <c r="O33" s="2">
        <f t="shared" si="0"/>
        <v>680000</v>
      </c>
      <c r="P33" s="2">
        <f t="shared" si="1"/>
        <v>682200</v>
      </c>
      <c r="Q33" s="2">
        <f t="shared" si="2"/>
        <v>0.99677513925535033</v>
      </c>
      <c r="R33" s="2">
        <f t="shared" si="3"/>
        <v>3.2893579595426559</v>
      </c>
      <c r="S33" s="2">
        <f t="shared" si="4"/>
        <v>1019.7009674582233</v>
      </c>
      <c r="T33" s="2">
        <f t="shared" si="5"/>
        <v>1.4671682206121659</v>
      </c>
    </row>
    <row r="34" spans="12:20" x14ac:dyDescent="0.25">
      <c r="L34" s="2">
        <v>3.3</v>
      </c>
      <c r="M34" s="2">
        <v>1000000</v>
      </c>
      <c r="N34" s="2">
        <f t="shared" si="6"/>
        <v>2200</v>
      </c>
      <c r="O34" s="2">
        <f t="shared" si="0"/>
        <v>1000000</v>
      </c>
      <c r="P34" s="2">
        <f t="shared" si="1"/>
        <v>1002200</v>
      </c>
      <c r="Q34" s="2">
        <f t="shared" si="2"/>
        <v>0.99780482937537418</v>
      </c>
      <c r="R34" s="2">
        <f t="shared" si="3"/>
        <v>3.2927559369387347</v>
      </c>
      <c r="S34" s="2">
        <f t="shared" si="4"/>
        <v>1020.7543404510078</v>
      </c>
      <c r="T34" s="2">
        <f t="shared" si="5"/>
        <v>1.0533729927844888</v>
      </c>
    </row>
    <row r="35" spans="12:20" x14ac:dyDescent="0.25">
      <c r="P35" s="1">
        <f t="shared" ref="P35" si="7">SUM(O35+N35)</f>
        <v>0</v>
      </c>
      <c r="Q35" s="1" t="e">
        <f t="shared" ref="Q35" si="8">M35/P35</f>
        <v>#DIV/0!</v>
      </c>
    </row>
  </sheetData>
  <phoneticPr fontId="1" type="noConversion"/>
  <conditionalFormatting sqref="R5:R3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:T34">
    <cfRule type="colorScale" priority="3">
      <colorScale>
        <cfvo type="num" val="10"/>
        <cfvo type="num" val="50"/>
        <color rgb="FFFF0000"/>
        <color theme="9" tint="0.39997558519241921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sudati</dc:creator>
  <cp:lastModifiedBy>Lucas sudati</cp:lastModifiedBy>
  <dcterms:created xsi:type="dcterms:W3CDTF">2026-02-23T04:03:30Z</dcterms:created>
  <dcterms:modified xsi:type="dcterms:W3CDTF">2026-08-01T08:10:44Z</dcterms:modified>
</cp:coreProperties>
</file>